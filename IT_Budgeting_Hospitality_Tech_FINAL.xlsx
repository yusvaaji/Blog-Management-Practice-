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fra_Labour_Logic" sheetId="2" state="visible" r:id="rId2"/>
    <sheet name="Per_Site_Cost" sheetId="3" state="visible" r:id="rId3"/>
    <sheet name="Capacity_and_Hiring" sheetId="4" state="visible" r:id="rId4"/>
    <sheet name="Budget_Summary" sheetId="5" state="visible" r:id="rId5"/>
    <sheet name="Budget_1_3_Years" sheetId="6" state="visible" r:id="rId6"/>
    <sheet name="Pricing_Tiers" sheetId="7" state="visible" r:id="rId7"/>
    <sheet name="One_Time_Fees" sheetId="8" state="visible" r:id="rId8"/>
    <sheet name="Break_Even" sheetId="9" state="visible" r:id="rId9"/>
    <sheet name="Hiring_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3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5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VPS KVM4 USD / Month</t>
        </is>
      </c>
      <c r="B2" s="3" t="n">
        <v>24.99</v>
      </c>
      <c r="C2" s="2" t="inlineStr">
        <is>
          <t>USD</t>
        </is>
      </c>
      <c r="D2" s="2" t="inlineStr">
        <is>
          <t>Hostinger KVM4 US (normal/renewal price)</t>
        </is>
      </c>
    </row>
    <row r="3">
      <c r="A3" s="2" t="inlineStr">
        <is>
          <t>USD to IDR</t>
        </is>
      </c>
      <c r="B3" s="3" t="n">
        <v>16690</v>
      </c>
      <c r="C3" s="2" t="inlineStr">
        <is>
          <t>IDR</t>
        </is>
      </c>
      <c r="D3" s="2" t="inlineStr">
        <is>
          <t>Exchange rate</t>
        </is>
      </c>
    </row>
    <row r="4">
      <c r="A4" s="2" t="inlineStr">
        <is>
          <t>VPS Cost IDR / Year</t>
        </is>
      </c>
      <c r="B4" s="2">
        <f>B2*B3*12</f>
        <v/>
      </c>
      <c r="C4" s="2" t="inlineStr">
        <is>
          <t>IDR</t>
        </is>
      </c>
      <c r="D4" s="2" t="inlineStr">
        <is>
          <t>Auto calculated</t>
        </is>
      </c>
    </row>
    <row r="5">
      <c r="A5" s="2" t="inlineStr">
        <is>
          <t>Sites per VPS (max)</t>
        </is>
      </c>
      <c r="B5" s="3" t="n">
        <v>12</v>
      </c>
      <c r="C5" s="2" t="inlineStr">
        <is>
          <t>sites</t>
        </is>
      </c>
      <c r="D5" s="2" t="inlineStr">
        <is>
          <t>Safe capacity limit</t>
        </is>
      </c>
    </row>
    <row r="6">
      <c r="A6" s="2" t="inlineStr">
        <is>
          <t>Avg Storage / Site</t>
        </is>
      </c>
      <c r="B6" s="3" t="n">
        <v>5</v>
      </c>
      <c r="C6" s="2" t="inlineStr">
        <is>
          <t>GB</t>
        </is>
      </c>
      <c r="D6" s="2" t="inlineStr">
        <is>
          <t>Web apps + MySQL</t>
        </is>
      </c>
    </row>
    <row r="7">
      <c r="A7" s="2" t="inlineStr">
        <is>
          <t>Nylas Cost / Site / Month</t>
        </is>
      </c>
      <c r="B7" s="3" t="n">
        <v>250350</v>
      </c>
      <c r="C7" s="2" t="inlineStr">
        <is>
          <t>IDR</t>
        </is>
      </c>
      <c r="D7" s="2" t="inlineStr">
        <is>
          <t>Hospitality integration API</t>
        </is>
      </c>
    </row>
    <row r="8">
      <c r="A8" s="2" t="inlineStr">
        <is>
          <t>Junior Dev Salary / Month</t>
        </is>
      </c>
      <c r="B8" s="3" t="n">
        <v>3000000</v>
      </c>
      <c r="C8" s="2" t="inlineStr">
        <is>
          <t>IDR</t>
        </is>
      </c>
      <c r="D8" s="2" t="inlineStr">
        <is>
          <t>Ops + dev work</t>
        </is>
      </c>
    </row>
    <row r="9">
      <c r="A9" s="2" t="inlineStr">
        <is>
          <t>Mid Dev Salary / Month</t>
        </is>
      </c>
      <c r="B9" s="3" t="n">
        <v>6000000</v>
      </c>
      <c r="C9" s="2" t="inlineStr">
        <is>
          <t>IDR</t>
        </is>
      </c>
      <c r="D9" s="2" t="inlineStr">
        <is>
          <t>Senior dev work</t>
        </is>
      </c>
    </row>
    <row r="10">
      <c r="A10" s="2" t="inlineStr">
        <is>
          <t>Sites per Dev (ops)</t>
        </is>
      </c>
      <c r="B10" s="3" t="n">
        <v>10</v>
      </c>
      <c r="C10" s="2" t="inlineStr">
        <is>
          <t>sites</t>
        </is>
      </c>
      <c r="D10" s="2" t="inlineStr">
        <is>
          <t>Baseline ops capacity</t>
        </is>
      </c>
    </row>
    <row r="11">
      <c r="A11" s="2" t="inlineStr">
        <is>
          <t>Custom Dev Buffer %</t>
        </is>
      </c>
      <c r="B11" s="3" t="n">
        <v>30</v>
      </c>
      <c r="C11" s="2" t="inlineStr">
        <is>
          <t>%</t>
        </is>
      </c>
      <c r="D11" s="2" t="inlineStr">
        <is>
          <t>Hospitality custom requests</t>
        </is>
      </c>
    </row>
    <row r="12">
      <c r="A12" s="2" t="inlineStr">
        <is>
          <t>Domain Cost / Year (total)</t>
        </is>
      </c>
      <c r="B12" s="3" t="n">
        <v>800000</v>
      </c>
      <c r="C12" s="2" t="inlineStr">
        <is>
          <t>IDR</t>
        </is>
      </c>
      <c r="D12" s="2" t="inlineStr">
        <is>
          <t>Shared across 4 domains</t>
        </is>
      </c>
    </row>
    <row r="13">
      <c r="A13" s="2" t="inlineStr">
        <is>
          <t>Domain Count</t>
        </is>
      </c>
      <c r="B13" s="3" t="n">
        <v>4</v>
      </c>
      <c r="C13" s="2" t="inlineStr">
        <is>
          <t>domains</t>
        </is>
      </c>
      <c r="D13" s="2" t="inlineStr">
        <is>
          <t>Existing domains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30" customWidth="1" min="4" max="4"/>
  </cols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Result</t>
        </is>
      </c>
      <c r="D1" s="1" t="inlineStr">
        <is>
          <t>Notes</t>
        </is>
      </c>
    </row>
    <row r="2">
      <c r="A2" s="2" t="inlineStr">
        <is>
          <t>Effective Sites / Dev</t>
        </is>
      </c>
      <c r="B2" s="2" t="inlineStr">
        <is>
          <t>Sites/dev × (1 - buffer)</t>
        </is>
      </c>
      <c r="C2" s="3">
        <f>Assumptions!B9*(1-Assumptions!B10/100)</f>
        <v/>
      </c>
      <c r="D2" s="2" t="inlineStr">
        <is>
          <t>After custom buffer</t>
        </is>
      </c>
    </row>
    <row r="3">
      <c r="A3" s="2" t="inlineStr">
        <is>
          <t>VPS Cost / Year (IDR)</t>
        </is>
      </c>
      <c r="B3" s="2" t="inlineStr">
        <is>
          <t>USD × FX × 12</t>
        </is>
      </c>
      <c r="C3" s="3">
        <f>Assumptions!B2*Assumptions!B3*12</f>
        <v/>
      </c>
      <c r="D3" s="2" t="inlineStr">
        <is>
          <t>Yearly VPS cost</t>
        </is>
      </c>
    </row>
    <row r="4">
      <c r="A4" s="2" t="inlineStr">
        <is>
          <t>VPS Cost / Site / Year</t>
        </is>
      </c>
      <c r="B4" s="2" t="inlineStr">
        <is>
          <t>VPS Year / Sites per VPS</t>
        </is>
      </c>
      <c r="C4" s="3">
        <f>C3/Assumptions!B4</f>
        <v/>
      </c>
      <c r="D4" s="2" t="inlineStr">
        <is>
          <t>Per site yearly</t>
        </is>
      </c>
    </row>
    <row r="5">
      <c r="A5" s="2" t="inlineStr">
        <is>
          <t>VPS Cost / Site / Month</t>
        </is>
      </c>
      <c r="B5" s="2" t="inlineStr">
        <is>
          <t>VPS Year / Sites / 12</t>
        </is>
      </c>
      <c r="C5" s="3">
        <f>C4/12</f>
        <v/>
      </c>
      <c r="D5" s="2" t="inlineStr">
        <is>
          <t>Per site monthly</t>
        </is>
      </c>
    </row>
    <row r="6">
      <c r="A6" s="2" t="inlineStr">
        <is>
          <t>Labour Cost / Dev / Year</t>
        </is>
      </c>
      <c r="B6" s="2" t="inlineStr">
        <is>
          <t>Salary × 12</t>
        </is>
      </c>
      <c r="C6" s="3">
        <f>Assumptions!B7*12</f>
        <v/>
      </c>
      <c r="D6" s="2" t="inlineStr">
        <is>
          <t>Per dev yearly</t>
        </is>
      </c>
    </row>
    <row r="7">
      <c r="A7" s="2" t="inlineStr">
        <is>
          <t>Labour Cost / Site / Month</t>
        </is>
      </c>
      <c r="B7" s="2" t="inlineStr">
        <is>
          <t>Salary / Effective Sites</t>
        </is>
      </c>
      <c r="C7" s="3">
        <f>Assumptions!B7/C2</f>
        <v/>
      </c>
      <c r="D7" s="2" t="inlineStr">
        <is>
          <t>Per site monthly</t>
        </is>
      </c>
    </row>
    <row r="8">
      <c r="A8" s="2" t="inlineStr">
        <is>
          <t>Labour Cost / Site / Year</t>
        </is>
      </c>
      <c r="B8" s="2" t="inlineStr">
        <is>
          <t>Monthly × 12</t>
        </is>
      </c>
      <c r="C8" s="3">
        <f>C7*12</f>
        <v/>
      </c>
      <c r="D8" s="2" t="inlineStr">
        <is>
          <t>Per site yearly</t>
        </is>
      </c>
    </row>
    <row r="9">
      <c r="A9" s="2" t="inlineStr">
        <is>
          <t>Domain Cost / Site / Year</t>
        </is>
      </c>
      <c r="B9" s="2" t="inlineStr">
        <is>
          <t>Total Domain / Sites</t>
        </is>
      </c>
      <c r="C9" s="3">
        <f>Assumptions!B11/Assumptions!B4</f>
        <v/>
      </c>
      <c r="D9" s="2" t="inlineStr">
        <is>
          <t>Per site yearly</t>
        </is>
      </c>
    </row>
    <row r="10">
      <c r="A10" s="2" t="inlineStr">
        <is>
          <t>Domain Cost / Site / Month</t>
        </is>
      </c>
      <c r="B10" s="2" t="inlineStr">
        <is>
          <t>Yearly / 12</t>
        </is>
      </c>
      <c r="C10" s="3">
        <f>C9/12</f>
        <v/>
      </c>
      <c r="D10" s="2" t="inlineStr">
        <is>
          <t>Per site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Component</t>
        </is>
      </c>
      <c r="B1" s="1" t="inlineStr">
        <is>
          <t>Per Month (IDR)</t>
        </is>
      </c>
      <c r="C1" s="1" t="inlineStr">
        <is>
          <t>Per Year (IDR)</t>
        </is>
      </c>
      <c r="D1" s="1" t="inlineStr">
        <is>
          <t>Notes</t>
        </is>
      </c>
    </row>
    <row r="2">
      <c r="A2" s="2" t="inlineStr">
        <is>
          <t>VPS (shared)</t>
        </is>
      </c>
      <c r="B2" s="3">
        <f>Infra_Labour_Logic!C5</f>
        <v/>
      </c>
      <c r="C2" s="3">
        <f>Infra_Labour_Logic!C4</f>
        <v/>
      </c>
      <c r="D2" s="2" t="inlineStr">
        <is>
          <t>Shared VPS cost</t>
        </is>
      </c>
    </row>
    <row r="3">
      <c r="A3" s="2" t="inlineStr">
        <is>
          <t>Nylas</t>
        </is>
      </c>
      <c r="B3" s="3">
        <f>Assumptions!B6</f>
        <v/>
      </c>
      <c r="C3" s="3">
        <f>Assumptions!B6*12</f>
        <v/>
      </c>
      <c r="D3" s="2" t="inlineStr">
        <is>
          <t>API service per site</t>
        </is>
      </c>
    </row>
    <row r="4">
      <c r="A4" s="2" t="inlineStr">
        <is>
          <t>Labour (custom incl.)</t>
        </is>
      </c>
      <c r="B4" s="3">
        <f>Infra_Labour_Logic!C7</f>
        <v/>
      </c>
      <c r="C4" s="3">
        <f>Infra_Labour_Logic!C8</f>
        <v/>
      </c>
      <c r="D4" s="2" t="inlineStr">
        <is>
          <t>With 30% custom buffer</t>
        </is>
      </c>
    </row>
    <row r="5">
      <c r="A5" s="2" t="inlineStr">
        <is>
          <t>Domain (shared)</t>
        </is>
      </c>
      <c r="B5" s="3">
        <f>Infra_Labour_Logic!C10</f>
        <v/>
      </c>
      <c r="C5" s="3">
        <f>Infra_Labour_Logic!C9</f>
        <v/>
      </c>
      <c r="D5" s="2" t="inlineStr">
        <is>
          <t>Shared domain cost</t>
        </is>
      </c>
    </row>
    <row r="6">
      <c r="A6" s="2" t="inlineStr">
        <is>
          <t>TOTAL</t>
        </is>
      </c>
      <c r="B6" s="3">
        <f>SUM(B2:B5)</f>
        <v/>
      </c>
      <c r="C6" s="3">
        <f>SUM(C2:C5)</f>
        <v/>
      </c>
      <c r="D6" s="2" t="inlineStr">
        <is>
          <t>Total cost per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Total Sites</t>
        </is>
      </c>
      <c r="B1" s="1" t="inlineStr">
        <is>
          <t>Junior Dev</t>
        </is>
      </c>
      <c r="C1" s="1" t="inlineStr">
        <is>
          <t>Mid Dev</t>
        </is>
      </c>
      <c r="D1" s="1" t="inlineStr">
        <is>
          <t>VPS Required</t>
        </is>
      </c>
      <c r="E1" s="1" t="inlineStr">
        <is>
          <t>Notes</t>
        </is>
      </c>
    </row>
    <row r="2">
      <c r="A2" s="3" t="n">
        <v>1</v>
      </c>
      <c r="B2" s="3" t="n">
        <v>1</v>
      </c>
      <c r="C2" s="3" t="n">
        <v>0</v>
      </c>
      <c r="D2" s="3" t="n">
        <v>1</v>
      </c>
      <c r="E2" s="2" t="inlineStr">
        <is>
          <t>Early stage</t>
        </is>
      </c>
    </row>
    <row r="3">
      <c r="A3" s="3" t="n">
        <v>7</v>
      </c>
      <c r="B3" s="3" t="n">
        <v>1</v>
      </c>
      <c r="C3" s="3" t="n">
        <v>0</v>
      </c>
      <c r="D3" s="3" t="n">
        <v>1</v>
      </c>
      <c r="E3" s="2" t="inlineStr">
        <is>
          <t>Ops only</t>
        </is>
      </c>
    </row>
    <row r="4">
      <c r="A4" s="3" t="n">
        <v>8</v>
      </c>
      <c r="B4" s="3" t="n">
        <v>2</v>
      </c>
      <c r="C4" s="3" t="n">
        <v>0</v>
      </c>
      <c r="D4" s="3" t="n">
        <v>1</v>
      </c>
      <c r="E4" s="2" t="inlineStr">
        <is>
          <t>Load increase</t>
        </is>
      </c>
    </row>
    <row r="5">
      <c r="A5" s="3" t="n">
        <v>14</v>
      </c>
      <c r="B5" s="3" t="n">
        <v>2</v>
      </c>
      <c r="C5" s="3" t="n">
        <v>0</v>
      </c>
      <c r="D5" s="3" t="n">
        <v>2</v>
      </c>
      <c r="E5" s="2" t="inlineStr">
        <is>
          <t>Second VPS needed</t>
        </is>
      </c>
    </row>
    <row r="6">
      <c r="A6" s="3" t="n">
        <v>15</v>
      </c>
      <c r="B6" s="3" t="n">
        <v>3</v>
      </c>
      <c r="C6" s="3" t="n">
        <v>1</v>
      </c>
      <c r="D6" s="3" t="n">
        <v>2</v>
      </c>
      <c r="E6" s="2" t="inlineStr">
        <is>
          <t>Custom requests heavy</t>
        </is>
      </c>
    </row>
    <row r="7">
      <c r="A7" s="3" t="n">
        <v>25</v>
      </c>
      <c r="B7" s="3" t="n">
        <v>3</v>
      </c>
      <c r="C7" s="3" t="n">
        <v>1</v>
      </c>
      <c r="D7" s="3" t="n">
        <v>3</v>
      </c>
      <c r="E7" s="2" t="inlineStr">
        <is>
          <t>Scale up</t>
        </is>
      </c>
    </row>
    <row r="8">
      <c r="A8" s="3" t="n">
        <v>30</v>
      </c>
      <c r="B8" s="3" t="n">
        <v>5</v>
      </c>
      <c r="C8" s="3" t="n">
        <v>2</v>
      </c>
      <c r="D8" s="3" t="n">
        <v>3</v>
      </c>
      <c r="E8" s="2" t="inlineStr">
        <is>
          <t>Team split</t>
        </is>
      </c>
    </row>
    <row r="9">
      <c r="A9" s="3" t="n">
        <v>50</v>
      </c>
      <c r="B9" s="3" t="n">
        <v>5</v>
      </c>
      <c r="C9" s="3" t="n">
        <v>2</v>
      </c>
      <c r="D9" s="3" t="n">
        <v>5</v>
      </c>
      <c r="E9" s="2" t="inlineStr">
        <is>
          <t>Growth phase</t>
        </is>
      </c>
    </row>
    <row r="10">
      <c r="A10" s="3" t="n">
        <v>60</v>
      </c>
      <c r="B10" s="3" t="n">
        <v>9</v>
      </c>
      <c r="C10" s="3" t="n">
        <v>2</v>
      </c>
      <c r="D10" s="3" t="n">
        <v>5</v>
      </c>
      <c r="E10" s="2" t="inlineStr">
        <is>
          <t>Mature stage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Monthly (IDR)</t>
        </is>
      </c>
      <c r="C1" s="1" t="inlineStr">
        <is>
          <t>Yearly (IDR)</t>
        </is>
      </c>
      <c r="D1" s="1" t="inlineStr">
        <is>
          <t>Notes</t>
        </is>
      </c>
    </row>
    <row r="2">
      <c r="A2" s="4" t="inlineStr">
        <is>
          <t>FIXED IT COST</t>
        </is>
      </c>
    </row>
    <row r="3">
      <c r="A3" s="2" t="inlineStr">
        <is>
          <t>Junior Dev (1)</t>
        </is>
      </c>
      <c r="B3" s="3">
        <f>Assumptions!B7</f>
        <v/>
      </c>
      <c r="C3" s="3">
        <f>B3*12</f>
        <v/>
      </c>
      <c r="D3" s="2" t="inlineStr">
        <is>
          <t>Fixed manpower</t>
        </is>
      </c>
    </row>
    <row r="4">
      <c r="A4" s="2" t="inlineStr">
        <is>
          <t>Mid Dev (0)</t>
        </is>
      </c>
      <c r="B4" s="3" t="n">
        <v>0</v>
      </c>
      <c r="C4" s="3" t="n">
        <v>0</v>
      </c>
      <c r="D4" s="2" t="inlineStr">
        <is>
          <t>Not yet needed</t>
        </is>
      </c>
    </row>
    <row r="5">
      <c r="A5" s="2" t="inlineStr">
        <is>
          <t>VPS (amortized)</t>
        </is>
      </c>
      <c r="B5" s="3">
        <f>Infra_Labour_Logic!C3/12</f>
        <v/>
      </c>
      <c r="C5" s="3">
        <f>Infra_Labour_Logic!C3</f>
        <v/>
      </c>
      <c r="D5" s="2" t="inlineStr">
        <is>
          <t>Yearly VPS cost</t>
        </is>
      </c>
    </row>
    <row r="6">
      <c r="A6" s="2" t="inlineStr">
        <is>
          <t>Subtotal Fixed</t>
        </is>
      </c>
      <c r="B6" s="3">
        <f>SUM(B3:B5)</f>
        <v/>
      </c>
      <c r="C6" s="3">
        <f>SUM(C3:C5)</f>
        <v/>
      </c>
      <c r="D6" s="2" t="inlineStr"/>
    </row>
    <row r="8">
      <c r="A8" s="4" t="inlineStr">
        <is>
          <t>VARIABLE COST</t>
        </is>
      </c>
    </row>
    <row r="9">
      <c r="A9" s="5" t="inlineStr">
        <is>
          <t>Number of Sites</t>
        </is>
      </c>
      <c r="B9" s="3" t="n">
        <v>10</v>
      </c>
    </row>
    <row r="10">
      <c r="A10" s="2" t="inlineStr">
        <is>
          <t>Nylas</t>
        </is>
      </c>
      <c r="B10" s="3">
        <f>Per_Site_Cost!B3*B9</f>
        <v/>
      </c>
      <c r="C10" s="3">
        <f>Per_Site_Cost!C3*B9</f>
        <v/>
      </c>
      <c r="D10" s="2" t="inlineStr">
        <is>
          <t>Per site</t>
        </is>
      </c>
    </row>
    <row r="11">
      <c r="A11" s="2" t="inlineStr">
        <is>
          <t>VPS share</t>
        </is>
      </c>
      <c r="B11" s="3">
        <f>Per_Site_Cost!B2*B9</f>
        <v/>
      </c>
      <c r="C11" s="3">
        <f>Per_Site_Cost!C2*B9</f>
        <v/>
      </c>
      <c r="D11" s="2" t="inlineStr">
        <is>
          <t>Per site</t>
        </is>
      </c>
    </row>
    <row r="12">
      <c r="A12" s="2" t="inlineStr">
        <is>
          <t>Domain share</t>
        </is>
      </c>
      <c r="B12" s="3">
        <f>Per_Site_Cost!B5*B9</f>
        <v/>
      </c>
      <c r="C12" s="3">
        <f>Per_Site_Cost!C5*B9</f>
        <v/>
      </c>
      <c r="D12" s="2" t="inlineStr">
        <is>
          <t>Per site</t>
        </is>
      </c>
    </row>
    <row r="13">
      <c r="A13" s="2" t="inlineStr">
        <is>
          <t>Subtotal Variable</t>
        </is>
      </c>
      <c r="B13" s="3">
        <f>SUM(B10:B12)</f>
        <v/>
      </c>
      <c r="C13" s="3">
        <f>SUM(C10:C12)</f>
        <v/>
      </c>
      <c r="D13" s="2" t="inlineStr"/>
    </row>
    <row r="14">
      <c r="A14" s="6" t="inlineStr">
        <is>
          <t>TOTAL IT BUDGET</t>
        </is>
      </c>
      <c r="B14" s="3">
        <f>B6+C13</f>
        <v/>
      </c>
      <c r="C14" s="3">
        <f>C6+C13</f>
        <v/>
      </c>
    </row>
  </sheetData>
  <mergeCells count="2">
    <mergeCell ref="A8:D8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Year</t>
        </is>
      </c>
      <c r="B1" s="1" t="inlineStr">
        <is>
          <t>Sites</t>
        </is>
      </c>
      <c r="C1" s="1" t="inlineStr">
        <is>
          <t>VPS</t>
        </is>
      </c>
      <c r="D1" s="1" t="inlineStr">
        <is>
          <t>Junior Dev</t>
        </is>
      </c>
      <c r="E1" s="1" t="inlineStr">
        <is>
          <t>Mid Dev</t>
        </is>
      </c>
      <c r="F1" s="1" t="inlineStr">
        <is>
          <t>Infra / Year (IDR)</t>
        </is>
      </c>
      <c r="G1" s="1" t="inlineStr">
        <is>
          <t>Labour / Year (IDR)</t>
        </is>
      </c>
      <c r="H1" s="1" t="inlineStr">
        <is>
          <t>Total IT Cost / Year (IDR)</t>
        </is>
      </c>
    </row>
    <row r="2">
      <c r="A2" s="3" t="n">
        <v>1</v>
      </c>
      <c r="B2" s="7" t="n">
        <v>12</v>
      </c>
      <c r="C2" s="3">
        <f>CEILING(B2/Assumptions!B4,1)</f>
        <v/>
      </c>
      <c r="D2" s="3">
        <f>CEILING(B2/(Assumptions!B9*(1-Assumptions!B10/100)),1)</f>
        <v/>
      </c>
      <c r="E2" s="3" t="n">
        <v>0</v>
      </c>
      <c r="F2" s="3">
        <f>C2*Infra_Labour_Logic!C3</f>
        <v/>
      </c>
      <c r="G2" s="3">
        <f>D2*Assumptions!B7*12</f>
        <v/>
      </c>
      <c r="H2" s="3">
        <f>F2+G2</f>
        <v/>
      </c>
    </row>
    <row r="3">
      <c r="A3" s="3" t="n">
        <v>2</v>
      </c>
      <c r="B3" s="7" t="n">
        <v>30</v>
      </c>
      <c r="C3" s="3">
        <f>CEILING(B3/Assumptions!B4,1)</f>
        <v/>
      </c>
      <c r="D3" s="3">
        <f>CEILING(B3/(Assumptions!B9*(1-Assumptions!B10/100)),1)</f>
        <v/>
      </c>
      <c r="E3" s="3" t="n">
        <v>1</v>
      </c>
      <c r="F3" s="3">
        <f>C3*Infra_Labour_Logic!C3</f>
        <v/>
      </c>
      <c r="G3" s="3">
        <f>D3*Assumptions!B7*12+E3*Assumptions!B8*12</f>
        <v/>
      </c>
      <c r="H3" s="3">
        <f>F3+G3</f>
        <v/>
      </c>
    </row>
    <row r="4">
      <c r="A4" s="3" t="n">
        <v>3</v>
      </c>
      <c r="B4" s="7" t="n">
        <v>60</v>
      </c>
      <c r="C4" s="3">
        <f>CEILING(B4/Assumptions!B4,1)</f>
        <v/>
      </c>
      <c r="D4" s="3">
        <f>CEILING(B4/(Assumptions!B9*(1-Assumptions!B10/100)),1)</f>
        <v/>
      </c>
      <c r="E4" s="3" t="n">
        <v>2</v>
      </c>
      <c r="F4" s="3">
        <f>C4*Infra_Labour_Logic!C3</f>
        <v/>
      </c>
      <c r="G4" s="3">
        <f>D4*Assumptions!B7*12+E4*Assumptions!B8*12</f>
        <v/>
      </c>
      <c r="H4" s="3">
        <f>F4+G4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5" customWidth="1" min="5" max="5"/>
    <col width="25" customWidth="1" min="6" max="6"/>
  </cols>
  <sheetData>
    <row r="1">
      <c r="A1" s="1" t="inlineStr">
        <is>
          <t>Tier</t>
        </is>
      </c>
      <c r="B1" s="1" t="inlineStr">
        <is>
          <t>Price / Month (IDR)</t>
        </is>
      </c>
      <c r="C1" s="1" t="inlineStr">
        <is>
          <t>Cost / Month (IDR)</t>
        </is>
      </c>
      <c r="D1" s="1" t="inlineStr">
        <is>
          <t>Margin / Month (IDR)</t>
        </is>
      </c>
      <c r="E1" s="1" t="inlineStr">
        <is>
          <t>Margin %</t>
        </is>
      </c>
      <c r="F1" s="1" t="inlineStr">
        <is>
          <t>Notes</t>
        </is>
      </c>
    </row>
    <row r="2">
      <c r="A2" s="2" t="inlineStr">
        <is>
          <t>Basic</t>
        </is>
      </c>
      <c r="B2" s="3" t="n">
        <v>1200000</v>
      </c>
      <c r="C2" s="3">
        <f>Per_Site_Cost!B6</f>
        <v/>
      </c>
      <c r="D2" s="3">
        <f>B2-C2</f>
        <v/>
      </c>
      <c r="E2" s="8">
        <f>D2/B2*100</f>
        <v/>
      </c>
      <c r="F2" s="2" t="inlineStr">
        <is>
          <t>Entry level</t>
        </is>
      </c>
    </row>
    <row r="3">
      <c r="A3" s="2" t="inlineStr">
        <is>
          <t>Pro</t>
        </is>
      </c>
      <c r="B3" s="3" t="n">
        <v>1800000</v>
      </c>
      <c r="C3" s="3">
        <f>Per_Site_Cost!B6</f>
        <v/>
      </c>
      <c r="D3" s="3">
        <f>B3-C3</f>
        <v/>
      </c>
      <c r="E3" s="8">
        <f>D3/B3*100</f>
        <v/>
      </c>
      <c r="F3" s="2" t="inlineStr">
        <is>
          <t>Sweet spot</t>
        </is>
      </c>
    </row>
    <row r="4">
      <c r="A4" s="2" t="inlineStr">
        <is>
          <t>Enterprise</t>
        </is>
      </c>
      <c r="B4" s="3" t="n">
        <v>2500000</v>
      </c>
      <c r="C4" s="3">
        <f>Per_Site_Cost!B6</f>
        <v/>
      </c>
      <c r="D4" s="3">
        <f>B4-C4</f>
        <v/>
      </c>
      <c r="E4" s="8">
        <f>D4/B4*100</f>
        <v/>
      </c>
      <c r="F4" s="2" t="inlineStr">
        <is>
          <t>High margin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Fee (IDR)</t>
        </is>
      </c>
      <c r="C1" s="1" t="inlineStr">
        <is>
          <t>When Used</t>
        </is>
      </c>
      <c r="D1" s="1" t="inlineStr">
        <is>
          <t>Notes</t>
        </is>
      </c>
    </row>
    <row r="2">
      <c r="A2" s="2" t="inlineStr">
        <is>
          <t>Initial Setup</t>
        </is>
      </c>
      <c r="B2" s="3" t="n">
        <v>3000000</v>
      </c>
      <c r="C2" s="2" t="inlineStr">
        <is>
          <t>Onboarding</t>
        </is>
      </c>
      <c r="D2" s="2" t="inlineStr">
        <is>
          <t>Domain, deploy, configuration</t>
        </is>
      </c>
    </row>
    <row r="3">
      <c r="A3" s="2" t="inlineStr">
        <is>
          <t>Minor Custom Dev</t>
        </is>
      </c>
      <c r="B3" s="3" t="n">
        <v>5000000</v>
      </c>
      <c r="C3" s="2" t="inlineStr">
        <is>
          <t>Small requests</t>
        </is>
      </c>
      <c r="D3" s="2" t="inlineStr">
        <is>
          <t>Report, workflow kecil</t>
        </is>
      </c>
    </row>
    <row r="4">
      <c r="A4" s="2" t="inlineStr">
        <is>
          <t>Major Custom Dev</t>
        </is>
      </c>
      <c r="B4" s="3" t="n">
        <v>15000000</v>
      </c>
      <c r="C4" s="2" t="inlineStr">
        <is>
          <t>Complex requests</t>
        </is>
      </c>
      <c r="D4" s="2" t="inlineStr">
        <is>
          <t>Logic booking, integration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Avg Revenue / Site / Month</t>
        </is>
      </c>
      <c r="B2" s="3">
        <f>(Pricing_Tiers!B2+Pricing_Tiers!B3+Pricing_Tiers!B4)/3</f>
        <v/>
      </c>
      <c r="C2" s="2" t="inlineStr">
        <is>
          <t>IDR</t>
        </is>
      </c>
      <c r="D2" s="2" t="inlineStr">
        <is>
          <t>Average of 3 tiers</t>
        </is>
      </c>
    </row>
    <row r="3">
      <c r="A3" s="2" t="inlineStr">
        <is>
          <t>Cost / Site / Month</t>
        </is>
      </c>
      <c r="B3" s="3">
        <f>Per_Site_Cost!B6</f>
        <v/>
      </c>
      <c r="C3" s="2" t="inlineStr">
        <is>
          <t>IDR</t>
        </is>
      </c>
      <c r="D3" s="2" t="inlineStr">
        <is>
          <t>Total cost per site</t>
        </is>
      </c>
    </row>
    <row r="4">
      <c r="A4" s="2" t="inlineStr">
        <is>
          <t>Margin / Site / Month</t>
        </is>
      </c>
      <c r="B4" s="3">
        <f>B2-B3</f>
        <v/>
      </c>
      <c r="C4" s="2" t="inlineStr">
        <is>
          <t>IDR</t>
        </is>
      </c>
      <c r="D4" s="2" t="inlineStr">
        <is>
          <t>Profit per site</t>
        </is>
      </c>
    </row>
    <row r="5">
      <c r="A5" s="2" t="inlineStr">
        <is>
          <t>Fixed Monthly Cost (min)</t>
        </is>
      </c>
      <c r="B5" s="3">
        <f>Budget_Summary!B6</f>
        <v/>
      </c>
      <c r="C5" s="2" t="inlineStr">
        <is>
          <t>IDR</t>
        </is>
      </c>
      <c r="D5" s="2" t="inlineStr">
        <is>
          <t>1 VPS + 1 Dev minimum</t>
        </is>
      </c>
    </row>
    <row r="6">
      <c r="A6" s="2" t="inlineStr">
        <is>
          <t>Break-even Customers</t>
        </is>
      </c>
      <c r="B6" s="3">
        <f>CEILING(B5/B4,1)</f>
        <v/>
      </c>
      <c r="C6" s="2" t="inlineStr">
        <is>
          <t>customers</t>
        </is>
      </c>
      <c r="D6" s="2" t="inlineStr">
        <is>
          <t>Minimum customers needed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20" customWidth="1" min="5" max="5"/>
    <col width="25" customWidth="1" min="6" max="6"/>
  </cols>
  <sheetData>
    <row r="1">
      <c r="A1" s="1" t="inlineStr">
        <is>
          <t>Stage</t>
        </is>
      </c>
      <c r="B1" s="1" t="inlineStr">
        <is>
          <t>Sites</t>
        </is>
      </c>
      <c r="C1" s="1" t="inlineStr">
        <is>
          <t>Junior</t>
        </is>
      </c>
      <c r="D1" s="1" t="inlineStr">
        <is>
          <t>Mid</t>
        </is>
      </c>
      <c r="E1" s="1" t="inlineStr">
        <is>
          <t>Focus</t>
        </is>
      </c>
      <c r="F1" s="1" t="inlineStr">
        <is>
          <t>Notes</t>
        </is>
      </c>
    </row>
    <row r="2">
      <c r="A2" s="2" t="inlineStr">
        <is>
          <t>Early</t>
        </is>
      </c>
      <c r="B2" s="2" t="inlineStr">
        <is>
          <t>1-15</t>
        </is>
      </c>
      <c r="C2" s="3" t="n">
        <v>1</v>
      </c>
      <c r="D2" s="3" t="n">
        <v>0</v>
      </c>
      <c r="E2" s="2" t="inlineStr">
        <is>
          <t>Ops &amp; bugfix</t>
        </is>
      </c>
      <c r="F2" s="2" t="inlineStr">
        <is>
          <t>Foundation</t>
        </is>
      </c>
    </row>
    <row r="3">
      <c r="A3" s="2" t="inlineStr">
        <is>
          <t>Growth</t>
        </is>
      </c>
      <c r="B3" s="2" t="inlineStr">
        <is>
          <t>16-40</t>
        </is>
      </c>
      <c r="C3" s="3" t="n">
        <v>3</v>
      </c>
      <c r="D3" s="3" t="n">
        <v>1</v>
      </c>
      <c r="E3" s="2" t="inlineStr">
        <is>
          <t>Custom &amp; refactor</t>
        </is>
      </c>
      <c r="F3" s="2" t="inlineStr">
        <is>
          <t>Scale up</t>
        </is>
      </c>
    </row>
    <row r="4">
      <c r="A4" s="2" t="inlineStr">
        <is>
          <t>Scale</t>
        </is>
      </c>
      <c r="B4" s="2" t="inlineStr">
        <is>
          <t>41-80</t>
        </is>
      </c>
      <c r="C4" s="3" t="n">
        <v>5</v>
      </c>
      <c r="D4" s="3" t="n">
        <v>2</v>
      </c>
      <c r="E4" s="2" t="inlineStr">
        <is>
          <t>Split ops &amp; dev</t>
        </is>
      </c>
      <c r="F4" s="2" t="inlineStr">
        <is>
          <t>Team structure</t>
        </is>
      </c>
    </row>
    <row r="5">
      <c r="A5" s="2" t="inlineStr">
        <is>
          <t>Mature</t>
        </is>
      </c>
      <c r="B5" s="2" t="inlineStr">
        <is>
          <t>80+</t>
        </is>
      </c>
      <c r="C5" s="3" t="n">
        <v>8</v>
      </c>
      <c r="D5" s="3" t="n">
        <v>3</v>
      </c>
      <c r="E5" s="2" t="inlineStr">
        <is>
          <t>Team ownership</t>
        </is>
      </c>
      <c r="F5" s="2" t="inlineStr">
        <is>
          <t>Full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2025-12-26T07:30:24Z</dcterms:created>
  <dcterms:modified xsi:type="dcterms:W3CDTF">2025-12-26T07:30:24Z</dcterms:modified>
</cp:coreProperties>
</file>